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D58DCA-EFE4-44D0-A6BE-88553F1D7E5A}" xr6:coauthVersionLast="47" xr6:coauthVersionMax="47" xr10:uidLastSave="{00000000-0000-0000-0000-000000000000}"/>
  <bookViews>
    <workbookView xWindow="-120" yWindow="-120" windowWidth="29040" windowHeight="15720" activeTab="4" xr2:uid="{17F8ECB4-7D6A-4B18-8E4A-780157376267}"/>
  </bookViews>
  <sheets>
    <sheet name="Звіт про результати 1" sheetId="6" r:id="rId1"/>
    <sheet name="Звіт про результати 2" sheetId="7" r:id="rId2"/>
    <sheet name="Звіт про стійкість 1" sheetId="8" r:id="rId3"/>
    <sheet name="Звіт про ліміти 1" sheetId="9" r:id="rId4"/>
    <sheet name="Аркуш1" sheetId="1" r:id="rId5"/>
  </sheets>
  <definedNames>
    <definedName name="solver_adj" localSheetId="4" hidden="1">Аркуш1!$B$2:$E$2</definedName>
    <definedName name="solver_cvg" localSheetId="4" hidden="1">0.0001</definedName>
    <definedName name="solver_drv" localSheetId="4" hidden="1">2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Аркуш1!$G$6:$G$10</definedName>
    <definedName name="solver_lhs2" localSheetId="4" hidden="1">Аркуш1!$G$6:$G$10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Аркуш1!$B$4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1</definedName>
    <definedName name="solver_rhs1" localSheetId="4" hidden="1">Аркуш1!$F$6:$F$10</definedName>
    <definedName name="solver_rhs2" localSheetId="4" hidden="1">Аркуш1!$F$6:$F$10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ho" localSheetId="3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B4" i="1"/>
  <c r="G7" i="1"/>
  <c r="G8" i="1"/>
  <c r="G9" i="1"/>
  <c r="G10" i="1"/>
  <c r="G6" i="1"/>
  <c r="H6" i="1" s="1"/>
</calcChain>
</file>

<file path=xl/sharedStrings.xml><?xml version="1.0" encoding="utf-8"?>
<sst xmlns="http://schemas.openxmlformats.org/spreadsheetml/2006/main" count="225" uniqueCount="86">
  <si>
    <t>Модель</t>
  </si>
  <si>
    <t>Ціна</t>
  </si>
  <si>
    <t>Sting</t>
  </si>
  <si>
    <t>Ray</t>
  </si>
  <si>
    <t>Breaker</t>
  </si>
  <si>
    <t>Marlin</t>
  </si>
  <si>
    <t>Назва</t>
  </si>
  <si>
    <t>Запас</t>
  </si>
  <si>
    <t>Склопластик, м²</t>
  </si>
  <si>
    <t>Столярний цех, год</t>
  </si>
  <si>
    <t>Фарбувальний цех, год</t>
  </si>
  <si>
    <t>Такелаж, компл.</t>
  </si>
  <si>
    <t>Ділянка добудови, год</t>
  </si>
  <si>
    <t>План випуску</t>
  </si>
  <si>
    <t>Прибуток на 1</t>
  </si>
  <si>
    <t>Загальний прибуток</t>
  </si>
  <si>
    <t>Microsoft Excel 16.0 Звіт про результати</t>
  </si>
  <si>
    <t>Аркуш: [Книга1]Аркуш1</t>
  </si>
  <si>
    <t>Результат: Розв'язання знайдено. Усі обмеження й умови оптимальності дотримані.</t>
  </si>
  <si>
    <t>Модуль розв'язувача</t>
  </si>
  <si>
    <t>Параметри модуля розв'язувача</t>
  </si>
  <si>
    <t>Максимальний час Без обмежень,  Ітерації Без обмежень, Precision 0,000001</t>
  </si>
  <si>
    <t>Максимальна кількість підзадач: Без обмежень, Максимальна кількість цілочислових розв'язань Без обмежень, Похибка цілого числа 1%, Вважати не від'ємним</t>
  </si>
  <si>
    <t>Клітинка цільової функції (Максимум)</t>
  </si>
  <si>
    <t>Клітинка</t>
  </si>
  <si>
    <t>Вихідне значення</t>
  </si>
  <si>
    <t>Остаточне значення</t>
  </si>
  <si>
    <t>Клітинки змінних</t>
  </si>
  <si>
    <t>Ціле число</t>
  </si>
  <si>
    <t>Обмеження</t>
  </si>
  <si>
    <t>Значення клітинки</t>
  </si>
  <si>
    <t>Формула</t>
  </si>
  <si>
    <t>Стан</t>
  </si>
  <si>
    <t>Допуск</t>
  </si>
  <si>
    <t>$B$4</t>
  </si>
  <si>
    <t>Загальний прибуток Sting</t>
  </si>
  <si>
    <t>$B$2</t>
  </si>
  <si>
    <t>План випуску Sting</t>
  </si>
  <si>
    <t>Продовжити</t>
  </si>
  <si>
    <t>$C$2</t>
  </si>
  <si>
    <t>План випуску Ray</t>
  </si>
  <si>
    <t>$D$2</t>
  </si>
  <si>
    <t>План випуску Breaker</t>
  </si>
  <si>
    <t>$E$2</t>
  </si>
  <si>
    <t>План випуску Marlin</t>
  </si>
  <si>
    <t>$G$6</t>
  </si>
  <si>
    <t>$G$6&lt;=$F$6</t>
  </si>
  <si>
    <t>Зв'язування</t>
  </si>
  <si>
    <t>$G$7</t>
  </si>
  <si>
    <t>$G$7&lt;=$F$7</t>
  </si>
  <si>
    <t>$G$8</t>
  </si>
  <si>
    <t>$G$8&lt;=$F$8</t>
  </si>
  <si>
    <t>Без зв'язування</t>
  </si>
  <si>
    <t>$G$9</t>
  </si>
  <si>
    <t>$G$9&lt;=$F$9</t>
  </si>
  <si>
    <t>$G$10</t>
  </si>
  <si>
    <t>$G$10&lt;=$F$10</t>
  </si>
  <si>
    <t>$B$2:$E$2</t>
  </si>
  <si>
    <t>$G$6:$G$10 &lt;= $F$6:$F$10</t>
  </si>
  <si>
    <t>Microsoft Excel 16.0 Звіт про стійкість</t>
  </si>
  <si>
    <t>Остаточне</t>
  </si>
  <si>
    <t>Значення</t>
  </si>
  <si>
    <t>Зменшена</t>
  </si>
  <si>
    <t>Microsoft Excel 16.0 Звіт про ліміти</t>
  </si>
  <si>
    <t>Цільова функція</t>
  </si>
  <si>
    <t>Змінна</t>
  </si>
  <si>
    <t>Нижній</t>
  </si>
  <si>
    <t>Ліміт</t>
  </si>
  <si>
    <t>Результат</t>
  </si>
  <si>
    <t>Верхній</t>
  </si>
  <si>
    <t>Результат: Цілочислове розв'язання знайдено в межах припустимої похибки. Усі обмеження дотримані.</t>
  </si>
  <si>
    <t>$B$2:$E$2=Ціле число</t>
  </si>
  <si>
    <t>Звіт створено: 02.10.2026 1:01:05</t>
  </si>
  <si>
    <t>Модуль: За симплекс-методом</t>
  </si>
  <si>
    <t>Час розв'язання: 0,031 Секунди.</t>
  </si>
  <si>
    <t>Ітерації: 1 Підзадачі: 14</t>
  </si>
  <si>
    <t>Звіт створено: 02.10.2026 1:07:41</t>
  </si>
  <si>
    <t>Ітерації: 2 Підзадачі: 0</t>
  </si>
  <si>
    <t>Вартість</t>
  </si>
  <si>
    <t>Коефіцієнт</t>
  </si>
  <si>
    <t>Припустиме</t>
  </si>
  <si>
    <t>Збільшення</t>
  </si>
  <si>
    <t>Зменшення</t>
  </si>
  <si>
    <t>Тінь</t>
  </si>
  <si>
    <t>Права сторона</t>
  </si>
  <si>
    <t>Звіт створено: 02.10.2026 1:07:42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</si>
</sst>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01E9-8C66-467E-973A-8C6C994941B1}">
  <dimension ref="A1:G38"/>
  <sheetViews>
    <sheetView showGridLines="0" workbookViewId="0">
      <selection activeCell="C51" sqref="C51"/>
    </sheetView>
  </sheetViews>
  <sheetFormatPr defaultRowHeight="15" outlineLevelRow="1" x14ac:dyDescent="0.25"/>
  <cols>
    <col min="1" max="1" width="2.28515625" customWidth="1"/>
    <col min="2" max="2" width="21" bestFit="1" customWidth="1"/>
    <col min="3" max="3" width="24.5703125" bestFit="1" customWidth="1"/>
    <col min="4" max="4" width="18.28515625" bestFit="1" customWidth="1"/>
    <col min="5" max="5" width="19.5703125" bestFit="1" customWidth="1"/>
    <col min="6" max="6" width="15.140625" bestFit="1" customWidth="1"/>
    <col min="7" max="7" width="7.5703125" bestFit="1" customWidth="1"/>
  </cols>
  <sheetData>
    <row r="1" spans="1:5" x14ac:dyDescent="0.25">
      <c r="A1" s="1" t="s">
        <v>16</v>
      </c>
    </row>
    <row r="2" spans="1:5" x14ac:dyDescent="0.25">
      <c r="A2" s="1" t="s">
        <v>17</v>
      </c>
    </row>
    <row r="3" spans="1:5" x14ac:dyDescent="0.25">
      <c r="A3" s="1" t="s">
        <v>72</v>
      </c>
    </row>
    <row r="4" spans="1:5" x14ac:dyDescent="0.25">
      <c r="A4" s="1" t="s">
        <v>70</v>
      </c>
    </row>
    <row r="5" spans="1:5" x14ac:dyDescent="0.25">
      <c r="A5" s="1" t="s">
        <v>19</v>
      </c>
    </row>
    <row r="6" spans="1:5" hidden="1" outlineLevel="1" x14ac:dyDescent="0.25">
      <c r="A6" s="1"/>
      <c r="B6" t="s">
        <v>73</v>
      </c>
    </row>
    <row r="7" spans="1:5" hidden="1" outlineLevel="1" x14ac:dyDescent="0.25">
      <c r="A7" s="1"/>
      <c r="B7" t="s">
        <v>74</v>
      </c>
    </row>
    <row r="8" spans="1:5" hidden="1" outlineLevel="1" x14ac:dyDescent="0.25">
      <c r="A8" s="1"/>
      <c r="B8" t="s">
        <v>75</v>
      </c>
    </row>
    <row r="9" spans="1:5" collapsed="1" x14ac:dyDescent="0.25">
      <c r="A9" s="1" t="s">
        <v>20</v>
      </c>
    </row>
    <row r="10" spans="1:5" hidden="1" outlineLevel="1" x14ac:dyDescent="0.25">
      <c r="B10" t="s">
        <v>21</v>
      </c>
    </row>
    <row r="11" spans="1:5" hidden="1" outlineLevel="1" x14ac:dyDescent="0.25">
      <c r="B11" t="s">
        <v>22</v>
      </c>
    </row>
    <row r="12" spans="1:5" collapsed="1" x14ac:dyDescent="0.25"/>
    <row r="14" spans="1:5" ht="15.75" thickBot="1" x14ac:dyDescent="0.3">
      <c r="A14" t="s">
        <v>23</v>
      </c>
    </row>
    <row r="15" spans="1:5" ht="15.75" thickBot="1" x14ac:dyDescent="0.3">
      <c r="B15" s="3" t="s">
        <v>24</v>
      </c>
      <c r="C15" s="3" t="s">
        <v>6</v>
      </c>
      <c r="D15" s="3" t="s">
        <v>25</v>
      </c>
      <c r="E15" s="3" t="s">
        <v>26</v>
      </c>
    </row>
    <row r="16" spans="1:5" ht="15.75" thickBot="1" x14ac:dyDescent="0.3">
      <c r="B16" s="2" t="s">
        <v>34</v>
      </c>
      <c r="C16" s="2" t="s">
        <v>35</v>
      </c>
      <c r="D16" s="6">
        <v>10368</v>
      </c>
      <c r="E16" s="6">
        <v>10368</v>
      </c>
    </row>
    <row r="19" spans="1:7" ht="15.75" thickBot="1" x14ac:dyDescent="0.3">
      <c r="A19" t="s">
        <v>27</v>
      </c>
    </row>
    <row r="20" spans="1:7" ht="15.75" thickBot="1" x14ac:dyDescent="0.3">
      <c r="B20" s="3" t="s">
        <v>24</v>
      </c>
      <c r="C20" s="3" t="s">
        <v>6</v>
      </c>
      <c r="D20" s="3" t="s">
        <v>25</v>
      </c>
      <c r="E20" s="3" t="s">
        <v>26</v>
      </c>
      <c r="F20" s="3" t="s">
        <v>28</v>
      </c>
    </row>
    <row r="21" spans="1:7" x14ac:dyDescent="0.25">
      <c r="B21" s="10" t="s">
        <v>57</v>
      </c>
      <c r="C21" s="9"/>
      <c r="D21" s="9"/>
      <c r="E21" s="9"/>
      <c r="F21" s="9"/>
    </row>
    <row r="22" spans="1:7" hidden="1" outlineLevel="1" x14ac:dyDescent="0.25">
      <c r="B22" s="5" t="s">
        <v>36</v>
      </c>
      <c r="C22" s="5" t="s">
        <v>37</v>
      </c>
      <c r="D22" s="7">
        <v>0</v>
      </c>
      <c r="E22" s="7">
        <v>0</v>
      </c>
      <c r="F22" s="5" t="s">
        <v>28</v>
      </c>
    </row>
    <row r="23" spans="1:7" hidden="1" outlineLevel="1" x14ac:dyDescent="0.25">
      <c r="B23" s="5" t="s">
        <v>39</v>
      </c>
      <c r="C23" s="5" t="s">
        <v>40</v>
      </c>
      <c r="D23" s="7">
        <v>2</v>
      </c>
      <c r="E23" s="7">
        <v>2</v>
      </c>
      <c r="F23" s="5" t="s">
        <v>28</v>
      </c>
    </row>
    <row r="24" spans="1:7" hidden="1" outlineLevel="1" x14ac:dyDescent="0.25">
      <c r="B24" s="5" t="s">
        <v>41</v>
      </c>
      <c r="C24" s="5" t="s">
        <v>42</v>
      </c>
      <c r="D24" s="7">
        <v>185</v>
      </c>
      <c r="E24" s="7">
        <v>185</v>
      </c>
      <c r="F24" s="5" t="s">
        <v>28</v>
      </c>
    </row>
    <row r="25" spans="1:7" ht="15.75" hidden="1" outlineLevel="1" thickBot="1" x14ac:dyDescent="0.3">
      <c r="B25" s="2" t="s">
        <v>43</v>
      </c>
      <c r="C25" s="2" t="s">
        <v>44</v>
      </c>
      <c r="D25" s="6">
        <v>55</v>
      </c>
      <c r="E25" s="6">
        <v>55</v>
      </c>
      <c r="F25" s="2" t="s">
        <v>28</v>
      </c>
    </row>
    <row r="26" spans="1:7" collapsed="1" x14ac:dyDescent="0.25">
      <c r="B26" s="4"/>
      <c r="C26" s="4"/>
      <c r="D26" s="8"/>
      <c r="E26" s="8"/>
      <c r="F26" s="4"/>
    </row>
    <row r="29" spans="1:7" ht="15.75" thickBot="1" x14ac:dyDescent="0.3">
      <c r="A29" t="s">
        <v>29</v>
      </c>
    </row>
    <row r="30" spans="1:7" ht="15.75" thickBot="1" x14ac:dyDescent="0.3">
      <c r="B30" s="3" t="s">
        <v>24</v>
      </c>
      <c r="C30" s="3" t="s">
        <v>6</v>
      </c>
      <c r="D30" s="3" t="s">
        <v>30</v>
      </c>
      <c r="E30" s="3" t="s">
        <v>31</v>
      </c>
      <c r="F30" s="3" t="s">
        <v>32</v>
      </c>
      <c r="G30" s="3" t="s">
        <v>33</v>
      </c>
    </row>
    <row r="31" spans="1:7" x14ac:dyDescent="0.25">
      <c r="B31" s="10" t="s">
        <v>58</v>
      </c>
      <c r="C31" s="9"/>
      <c r="D31" s="9"/>
      <c r="E31" s="9"/>
      <c r="F31" s="9"/>
      <c r="G31" s="9"/>
    </row>
    <row r="32" spans="1:7" hidden="1" outlineLevel="1" x14ac:dyDescent="0.25">
      <c r="B32" s="5" t="s">
        <v>45</v>
      </c>
      <c r="C32" s="5" t="s">
        <v>8</v>
      </c>
      <c r="D32" s="7">
        <v>905</v>
      </c>
      <c r="E32" s="5" t="s">
        <v>46</v>
      </c>
      <c r="F32" s="5" t="s">
        <v>47</v>
      </c>
      <c r="G32" s="5">
        <v>0</v>
      </c>
    </row>
    <row r="33" spans="2:7" hidden="1" outlineLevel="1" x14ac:dyDescent="0.25">
      <c r="B33" s="5" t="s">
        <v>48</v>
      </c>
      <c r="C33" s="5" t="s">
        <v>9</v>
      </c>
      <c r="D33" s="7">
        <v>342</v>
      </c>
      <c r="E33" s="5" t="s">
        <v>49</v>
      </c>
      <c r="F33" s="5" t="s">
        <v>52</v>
      </c>
      <c r="G33" s="5">
        <v>2</v>
      </c>
    </row>
    <row r="34" spans="2:7" hidden="1" outlineLevel="1" x14ac:dyDescent="0.25">
      <c r="B34" s="5" t="s">
        <v>50</v>
      </c>
      <c r="C34" s="5" t="s">
        <v>10</v>
      </c>
      <c r="D34" s="7">
        <v>840</v>
      </c>
      <c r="E34" s="5" t="s">
        <v>51</v>
      </c>
      <c r="F34" s="5" t="s">
        <v>52</v>
      </c>
      <c r="G34" s="5">
        <v>26</v>
      </c>
    </row>
    <row r="35" spans="2:7" hidden="1" outlineLevel="1" x14ac:dyDescent="0.25">
      <c r="B35" s="5" t="s">
        <v>53</v>
      </c>
      <c r="C35" s="5" t="s">
        <v>11</v>
      </c>
      <c r="D35" s="7">
        <v>724</v>
      </c>
      <c r="E35" s="5" t="s">
        <v>54</v>
      </c>
      <c r="F35" s="5" t="s">
        <v>52</v>
      </c>
      <c r="G35" s="5">
        <v>666</v>
      </c>
    </row>
    <row r="36" spans="2:7" hidden="1" outlineLevel="1" x14ac:dyDescent="0.25">
      <c r="B36" s="5" t="s">
        <v>55</v>
      </c>
      <c r="C36" s="5" t="s">
        <v>12</v>
      </c>
      <c r="D36" s="7">
        <v>220</v>
      </c>
      <c r="E36" s="5" t="s">
        <v>56</v>
      </c>
      <c r="F36" s="5" t="s">
        <v>52</v>
      </c>
      <c r="G36" s="5">
        <v>135</v>
      </c>
    </row>
    <row r="37" spans="2:7" collapsed="1" x14ac:dyDescent="0.25">
      <c r="B37" s="5"/>
      <c r="C37" s="5"/>
      <c r="D37" s="7"/>
      <c r="E37" s="5"/>
      <c r="F37" s="5"/>
      <c r="G37" s="5"/>
    </row>
    <row r="38" spans="2:7" ht="15.75" thickBot="1" x14ac:dyDescent="0.3">
      <c r="B38" s="2" t="s">
        <v>71</v>
      </c>
      <c r="C38" s="2"/>
      <c r="D38" s="2"/>
      <c r="E38" s="2"/>
      <c r="F38" s="2"/>
      <c r="G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952B-E42E-48A3-8C9A-F1464FBD48CA}">
  <dimension ref="A1:G37"/>
  <sheetViews>
    <sheetView showGridLines="0" workbookViewId="0"/>
  </sheetViews>
  <sheetFormatPr defaultRowHeight="15" outlineLevelRow="1" x14ac:dyDescent="0.25"/>
  <cols>
    <col min="1" max="1" width="2.28515625" customWidth="1"/>
    <col min="2" max="2" width="9" bestFit="1" customWidth="1"/>
    <col min="3" max="3" width="24.5703125" bestFit="1" customWidth="1"/>
    <col min="4" max="4" width="18.28515625" bestFit="1" customWidth="1"/>
    <col min="5" max="5" width="19.5703125" bestFit="1" customWidth="1"/>
    <col min="6" max="6" width="15.140625" bestFit="1" customWidth="1"/>
    <col min="7" max="7" width="12" bestFit="1" customWidth="1"/>
  </cols>
  <sheetData>
    <row r="1" spans="1:5" x14ac:dyDescent="0.25">
      <c r="A1" s="1" t="s">
        <v>16</v>
      </c>
    </row>
    <row r="2" spans="1:5" x14ac:dyDescent="0.25">
      <c r="A2" s="1" t="s">
        <v>17</v>
      </c>
    </row>
    <row r="3" spans="1:5" x14ac:dyDescent="0.25">
      <c r="A3" s="1" t="s">
        <v>76</v>
      </c>
    </row>
    <row r="4" spans="1:5" x14ac:dyDescent="0.25">
      <c r="A4" s="1" t="s">
        <v>18</v>
      </c>
    </row>
    <row r="5" spans="1:5" x14ac:dyDescent="0.25">
      <c r="A5" s="1" t="s">
        <v>19</v>
      </c>
    </row>
    <row r="6" spans="1:5" hidden="1" outlineLevel="1" x14ac:dyDescent="0.25">
      <c r="A6" s="1"/>
      <c r="B6" t="s">
        <v>73</v>
      </c>
    </row>
    <row r="7" spans="1:5" hidden="1" outlineLevel="1" x14ac:dyDescent="0.25">
      <c r="A7" s="1"/>
      <c r="B7" t="s">
        <v>74</v>
      </c>
    </row>
    <row r="8" spans="1:5" hidden="1" outlineLevel="1" x14ac:dyDescent="0.25">
      <c r="A8" s="1"/>
      <c r="B8" t="s">
        <v>77</v>
      </c>
    </row>
    <row r="9" spans="1:5" collapsed="1" x14ac:dyDescent="0.25">
      <c r="A9" s="1" t="s">
        <v>20</v>
      </c>
    </row>
    <row r="10" spans="1:5" hidden="1" outlineLevel="1" x14ac:dyDescent="0.25">
      <c r="B10" t="s">
        <v>21</v>
      </c>
    </row>
    <row r="11" spans="1:5" hidden="1" outlineLevel="1" x14ac:dyDescent="0.25">
      <c r="B11" t="s">
        <v>22</v>
      </c>
    </row>
    <row r="12" spans="1:5" collapsed="1" x14ac:dyDescent="0.25"/>
    <row r="14" spans="1:5" ht="15.75" thickBot="1" x14ac:dyDescent="0.3">
      <c r="A14" t="s">
        <v>23</v>
      </c>
    </row>
    <row r="15" spans="1:5" ht="15.75" thickBot="1" x14ac:dyDescent="0.3">
      <c r="B15" s="3" t="s">
        <v>24</v>
      </c>
      <c r="C15" s="3" t="s">
        <v>6</v>
      </c>
      <c r="D15" s="3" t="s">
        <v>25</v>
      </c>
      <c r="E15" s="3" t="s">
        <v>26</v>
      </c>
    </row>
    <row r="16" spans="1:5" ht="15.75" thickBot="1" x14ac:dyDescent="0.3">
      <c r="B16" s="2" t="s">
        <v>34</v>
      </c>
      <c r="C16" s="2" t="s">
        <v>35</v>
      </c>
      <c r="D16" s="6">
        <v>10368</v>
      </c>
      <c r="E16" s="6">
        <v>10392.25</v>
      </c>
    </row>
    <row r="19" spans="1:7" ht="15.75" thickBot="1" x14ac:dyDescent="0.3">
      <c r="A19" t="s">
        <v>27</v>
      </c>
    </row>
    <row r="20" spans="1:7" ht="15.75" thickBot="1" x14ac:dyDescent="0.3">
      <c r="B20" s="3" t="s">
        <v>24</v>
      </c>
      <c r="C20" s="3" t="s">
        <v>6</v>
      </c>
      <c r="D20" s="3" t="s">
        <v>25</v>
      </c>
      <c r="E20" s="3" t="s">
        <v>26</v>
      </c>
      <c r="F20" s="3" t="s">
        <v>28</v>
      </c>
    </row>
    <row r="21" spans="1:7" x14ac:dyDescent="0.25">
      <c r="B21" s="10" t="s">
        <v>57</v>
      </c>
      <c r="C21" s="9"/>
      <c r="D21" s="9"/>
      <c r="E21" s="9"/>
      <c r="F21" s="9"/>
    </row>
    <row r="22" spans="1:7" hidden="1" outlineLevel="1" x14ac:dyDescent="0.25">
      <c r="B22" s="5" t="s">
        <v>36</v>
      </c>
      <c r="C22" s="5" t="s">
        <v>37</v>
      </c>
      <c r="D22" s="7">
        <v>0</v>
      </c>
      <c r="E22" s="7">
        <v>0</v>
      </c>
      <c r="F22" s="5" t="s">
        <v>38</v>
      </c>
    </row>
    <row r="23" spans="1:7" hidden="1" outlineLevel="1" x14ac:dyDescent="0.25">
      <c r="B23" s="5" t="s">
        <v>39</v>
      </c>
      <c r="C23" s="5" t="s">
        <v>40</v>
      </c>
      <c r="D23" s="7">
        <v>2</v>
      </c>
      <c r="E23" s="7">
        <v>0</v>
      </c>
      <c r="F23" s="5" t="s">
        <v>38</v>
      </c>
    </row>
    <row r="24" spans="1:7" hidden="1" outlineLevel="1" x14ac:dyDescent="0.25">
      <c r="B24" s="5" t="s">
        <v>41</v>
      </c>
      <c r="C24" s="5" t="s">
        <v>42</v>
      </c>
      <c r="D24" s="7">
        <v>185</v>
      </c>
      <c r="E24" s="7">
        <v>183.25</v>
      </c>
      <c r="F24" s="5" t="s">
        <v>38</v>
      </c>
    </row>
    <row r="25" spans="1:7" ht="15.75" hidden="1" outlineLevel="1" thickBot="1" x14ac:dyDescent="0.3">
      <c r="B25" s="2" t="s">
        <v>43</v>
      </c>
      <c r="C25" s="2" t="s">
        <v>44</v>
      </c>
      <c r="D25" s="6">
        <v>55</v>
      </c>
      <c r="E25" s="6">
        <v>57.333333333333329</v>
      </c>
      <c r="F25" s="2" t="s">
        <v>38</v>
      </c>
    </row>
    <row r="26" spans="1:7" collapsed="1" x14ac:dyDescent="0.25">
      <c r="B26" s="4"/>
      <c r="C26" s="4"/>
      <c r="D26" s="8"/>
      <c r="E26" s="8"/>
      <c r="F26" s="4"/>
    </row>
    <row r="29" spans="1:7" ht="15.75" thickBot="1" x14ac:dyDescent="0.3">
      <c r="A29" t="s">
        <v>29</v>
      </c>
    </row>
    <row r="30" spans="1:7" ht="15.75" thickBot="1" x14ac:dyDescent="0.3">
      <c r="B30" s="3" t="s">
        <v>24</v>
      </c>
      <c r="C30" s="3" t="s">
        <v>6</v>
      </c>
      <c r="D30" s="3" t="s">
        <v>30</v>
      </c>
      <c r="E30" s="3" t="s">
        <v>31</v>
      </c>
      <c r="F30" s="3" t="s">
        <v>32</v>
      </c>
      <c r="G30" s="3" t="s">
        <v>33</v>
      </c>
    </row>
    <row r="31" spans="1:7" x14ac:dyDescent="0.25">
      <c r="B31" s="10" t="s">
        <v>58</v>
      </c>
      <c r="C31" s="9"/>
      <c r="D31" s="9"/>
      <c r="E31" s="9"/>
      <c r="F31" s="9"/>
      <c r="G31" s="9"/>
    </row>
    <row r="32" spans="1:7" hidden="1" outlineLevel="1" x14ac:dyDescent="0.25">
      <c r="B32" s="5" t="s">
        <v>45</v>
      </c>
      <c r="C32" s="5" t="s">
        <v>8</v>
      </c>
      <c r="D32" s="7">
        <v>905</v>
      </c>
      <c r="E32" s="5" t="s">
        <v>46</v>
      </c>
      <c r="F32" s="5" t="s">
        <v>47</v>
      </c>
      <c r="G32" s="5">
        <v>0</v>
      </c>
    </row>
    <row r="33" spans="2:7" hidden="1" outlineLevel="1" x14ac:dyDescent="0.25">
      <c r="B33" s="5" t="s">
        <v>48</v>
      </c>
      <c r="C33" s="5" t="s">
        <v>9</v>
      </c>
      <c r="D33" s="7">
        <v>344</v>
      </c>
      <c r="E33" s="5" t="s">
        <v>49</v>
      </c>
      <c r="F33" s="5" t="s">
        <v>47</v>
      </c>
      <c r="G33" s="5">
        <v>0</v>
      </c>
    </row>
    <row r="34" spans="2:7" hidden="1" outlineLevel="1" x14ac:dyDescent="0.25">
      <c r="B34" s="5" t="s">
        <v>50</v>
      </c>
      <c r="C34" s="5" t="s">
        <v>10</v>
      </c>
      <c r="D34" s="7">
        <v>836.41666666666663</v>
      </c>
      <c r="E34" s="5" t="s">
        <v>51</v>
      </c>
      <c r="F34" s="5" t="s">
        <v>52</v>
      </c>
      <c r="G34" s="5">
        <v>29.583333333333371</v>
      </c>
    </row>
    <row r="35" spans="2:7" hidden="1" outlineLevel="1" x14ac:dyDescent="0.25">
      <c r="B35" s="5" t="s">
        <v>53</v>
      </c>
      <c r="C35" s="5" t="s">
        <v>11</v>
      </c>
      <c r="D35" s="7">
        <v>721.75</v>
      </c>
      <c r="E35" s="5" t="s">
        <v>54</v>
      </c>
      <c r="F35" s="5" t="s">
        <v>52</v>
      </c>
      <c r="G35" s="5">
        <v>668.25</v>
      </c>
    </row>
    <row r="36" spans="2:7" ht="15.75" hidden="1" outlineLevel="1" thickBot="1" x14ac:dyDescent="0.3">
      <c r="B36" s="2" t="s">
        <v>55</v>
      </c>
      <c r="C36" s="2" t="s">
        <v>12</v>
      </c>
      <c r="D36" s="6">
        <v>229.33333333333331</v>
      </c>
      <c r="E36" s="2" t="s">
        <v>56</v>
      </c>
      <c r="F36" s="2" t="s">
        <v>52</v>
      </c>
      <c r="G36" s="2">
        <v>125.66666666666669</v>
      </c>
    </row>
    <row r="37" spans="2:7" collapsed="1" x14ac:dyDescent="0.25">
      <c r="B37" s="4"/>
      <c r="C37" s="4"/>
      <c r="D37" s="8"/>
      <c r="E37" s="4"/>
      <c r="F37" s="4"/>
      <c r="G3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D7EA-4B10-47AD-9725-19EF43EDB46B}">
  <dimension ref="A1:H25"/>
  <sheetViews>
    <sheetView showGridLines="0" workbookViewId="0">
      <selection activeCell="J27" sqref="J27"/>
    </sheetView>
  </sheetViews>
  <sheetFormatPr defaultRowHeight="15" outlineLevelRow="1" x14ac:dyDescent="0.25"/>
  <cols>
    <col min="1" max="1" width="2.28515625" customWidth="1"/>
    <col min="2" max="2" width="9" bestFit="1" customWidth="1"/>
    <col min="3" max="3" width="22.42578125" bestFit="1" customWidth="1"/>
    <col min="4" max="4" width="12" bestFit="1" customWidth="1"/>
    <col min="5" max="5" width="10.7109375" bestFit="1" customWidth="1"/>
    <col min="6" max="6" width="16.140625" bestFit="1" customWidth="1"/>
    <col min="7" max="8" width="12.28515625" bestFit="1" customWidth="1"/>
  </cols>
  <sheetData>
    <row r="1" spans="1:8" x14ac:dyDescent="0.25">
      <c r="A1" s="1" t="s">
        <v>59</v>
      </c>
    </row>
    <row r="2" spans="1:8" x14ac:dyDescent="0.25">
      <c r="A2" s="1" t="s">
        <v>17</v>
      </c>
    </row>
    <row r="3" spans="1:8" x14ac:dyDescent="0.25">
      <c r="A3" s="1" t="s">
        <v>76</v>
      </c>
    </row>
    <row r="6" spans="1:8" ht="15.75" thickBot="1" x14ac:dyDescent="0.3">
      <c r="A6" t="s">
        <v>27</v>
      </c>
    </row>
    <row r="7" spans="1:8" x14ac:dyDescent="0.25">
      <c r="B7" s="11"/>
      <c r="C7" s="11"/>
      <c r="D7" s="11" t="s">
        <v>60</v>
      </c>
      <c r="E7" s="11" t="s">
        <v>62</v>
      </c>
      <c r="F7" s="11" t="s">
        <v>64</v>
      </c>
      <c r="G7" s="11" t="s">
        <v>80</v>
      </c>
      <c r="H7" s="11" t="s">
        <v>80</v>
      </c>
    </row>
    <row r="8" spans="1:8" ht="15.75" thickBot="1" x14ac:dyDescent="0.3">
      <c r="B8" s="12" t="s">
        <v>24</v>
      </c>
      <c r="C8" s="12" t="s">
        <v>6</v>
      </c>
      <c r="D8" s="12" t="s">
        <v>61</v>
      </c>
      <c r="E8" s="12" t="s">
        <v>78</v>
      </c>
      <c r="F8" s="12" t="s">
        <v>79</v>
      </c>
      <c r="G8" s="12" t="s">
        <v>81</v>
      </c>
      <c r="H8" s="12" t="s">
        <v>82</v>
      </c>
    </row>
    <row r="9" spans="1:8" x14ac:dyDescent="0.25">
      <c r="B9" s="10" t="s">
        <v>57</v>
      </c>
      <c r="C9" s="9"/>
      <c r="D9" s="9"/>
      <c r="E9" s="9"/>
      <c r="F9" s="9"/>
      <c r="G9" s="9"/>
      <c r="H9" s="9"/>
    </row>
    <row r="10" spans="1:8" hidden="1" outlineLevel="1" x14ac:dyDescent="0.25">
      <c r="B10" s="5" t="s">
        <v>36</v>
      </c>
      <c r="C10" s="5" t="s">
        <v>37</v>
      </c>
      <c r="D10" s="5">
        <v>0</v>
      </c>
      <c r="E10" s="5">
        <v>-17</v>
      </c>
      <c r="F10" s="5">
        <v>20</v>
      </c>
      <c r="G10" s="5">
        <v>17</v>
      </c>
      <c r="H10" s="5">
        <v>1E+30</v>
      </c>
    </row>
    <row r="11" spans="1:8" hidden="1" outlineLevel="1" x14ac:dyDescent="0.25">
      <c r="B11" s="5" t="s">
        <v>39</v>
      </c>
      <c r="C11" s="5" t="s">
        <v>40</v>
      </c>
      <c r="D11" s="5">
        <v>0</v>
      </c>
      <c r="E11" s="5">
        <v>-6.25</v>
      </c>
      <c r="F11" s="5">
        <v>29</v>
      </c>
      <c r="G11" s="5">
        <v>6.25</v>
      </c>
      <c r="H11" s="5">
        <v>1E+30</v>
      </c>
    </row>
    <row r="12" spans="1:8" hidden="1" outlineLevel="1" x14ac:dyDescent="0.25">
      <c r="B12" s="5" t="s">
        <v>41</v>
      </c>
      <c r="C12" s="5" t="s">
        <v>42</v>
      </c>
      <c r="D12" s="5">
        <v>183.25</v>
      </c>
      <c r="E12" s="5">
        <v>0</v>
      </c>
      <c r="F12" s="5">
        <v>37</v>
      </c>
      <c r="G12" s="5">
        <v>8.3333333333333339</v>
      </c>
      <c r="H12" s="5">
        <v>17</v>
      </c>
    </row>
    <row r="13" spans="1:8" ht="15.75" hidden="1" outlineLevel="1" thickBot="1" x14ac:dyDescent="0.3">
      <c r="B13" s="2" t="s">
        <v>43</v>
      </c>
      <c r="C13" s="2" t="s">
        <v>44</v>
      </c>
      <c r="D13" s="2">
        <v>57.333333333333329</v>
      </c>
      <c r="E13" s="2">
        <v>0</v>
      </c>
      <c r="F13" s="2">
        <v>63</v>
      </c>
      <c r="G13" s="2">
        <v>1E+30</v>
      </c>
      <c r="H13" s="2">
        <v>6.25</v>
      </c>
    </row>
    <row r="14" spans="1:8" collapsed="1" x14ac:dyDescent="0.25">
      <c r="B14" s="4"/>
      <c r="C14" s="4"/>
      <c r="D14" s="4"/>
      <c r="E14" s="4"/>
      <c r="F14" s="4"/>
      <c r="G14" s="4"/>
      <c r="H14" s="4"/>
    </row>
    <row r="16" spans="1:8" ht="15.75" thickBot="1" x14ac:dyDescent="0.3">
      <c r="A16" t="s">
        <v>29</v>
      </c>
    </row>
    <row r="17" spans="2:8" x14ac:dyDescent="0.25">
      <c r="B17" s="11"/>
      <c r="C17" s="11"/>
      <c r="D17" s="11" t="s">
        <v>60</v>
      </c>
      <c r="E17" s="11" t="s">
        <v>83</v>
      </c>
      <c r="F17" s="11" t="s">
        <v>29</v>
      </c>
      <c r="G17" s="11" t="s">
        <v>80</v>
      </c>
      <c r="H17" s="11" t="s">
        <v>80</v>
      </c>
    </row>
    <row r="18" spans="2:8" ht="15.75" thickBot="1" x14ac:dyDescent="0.3">
      <c r="B18" s="12" t="s">
        <v>24</v>
      </c>
      <c r="C18" s="12" t="s">
        <v>6</v>
      </c>
      <c r="D18" s="12" t="s">
        <v>61</v>
      </c>
      <c r="E18" s="12" t="s">
        <v>1</v>
      </c>
      <c r="F18" s="12" t="s">
        <v>84</v>
      </c>
      <c r="G18" s="12" t="s">
        <v>81</v>
      </c>
      <c r="H18" s="12" t="s">
        <v>82</v>
      </c>
    </row>
    <row r="19" spans="2:8" x14ac:dyDescent="0.25">
      <c r="B19" s="10" t="s">
        <v>58</v>
      </c>
      <c r="C19" s="9"/>
      <c r="D19" s="9"/>
      <c r="E19" s="9"/>
      <c r="F19" s="9"/>
      <c r="G19" s="9"/>
      <c r="H19" s="9"/>
    </row>
    <row r="20" spans="2:8" hidden="1" outlineLevel="1" x14ac:dyDescent="0.25">
      <c r="B20" s="5" t="s">
        <v>45</v>
      </c>
      <c r="C20" s="5" t="s">
        <v>8</v>
      </c>
      <c r="D20" s="5">
        <v>905</v>
      </c>
      <c r="E20" s="5">
        <v>9.25</v>
      </c>
      <c r="F20" s="5">
        <v>905</v>
      </c>
      <c r="G20" s="5">
        <v>39.444444444444493</v>
      </c>
      <c r="H20" s="5">
        <v>733</v>
      </c>
    </row>
    <row r="21" spans="2:8" hidden="1" outlineLevel="1" x14ac:dyDescent="0.25">
      <c r="B21" s="5" t="s">
        <v>48</v>
      </c>
      <c r="C21" s="5" t="s">
        <v>9</v>
      </c>
      <c r="D21" s="5">
        <v>344</v>
      </c>
      <c r="E21" s="5">
        <v>5.875</v>
      </c>
      <c r="F21" s="5">
        <v>344</v>
      </c>
      <c r="G21" s="5">
        <v>64.545454545454632</v>
      </c>
      <c r="H21" s="5">
        <v>344</v>
      </c>
    </row>
    <row r="22" spans="2:8" hidden="1" outlineLevel="1" x14ac:dyDescent="0.25">
      <c r="B22" s="5" t="s">
        <v>50</v>
      </c>
      <c r="C22" s="5" t="s">
        <v>10</v>
      </c>
      <c r="D22" s="5">
        <v>836.41666666666663</v>
      </c>
      <c r="E22" s="5">
        <v>0</v>
      </c>
      <c r="F22" s="5">
        <v>866</v>
      </c>
      <c r="G22" s="5">
        <v>1E+30</v>
      </c>
      <c r="H22" s="5">
        <v>29.583333333333371</v>
      </c>
    </row>
    <row r="23" spans="2:8" hidden="1" outlineLevel="1" x14ac:dyDescent="0.25">
      <c r="B23" s="5" t="s">
        <v>53</v>
      </c>
      <c r="C23" s="5" t="s">
        <v>11</v>
      </c>
      <c r="D23" s="5">
        <v>721.75</v>
      </c>
      <c r="E23" s="5">
        <v>0</v>
      </c>
      <c r="F23" s="5">
        <v>1390</v>
      </c>
      <c r="G23" s="5">
        <v>1E+30</v>
      </c>
      <c r="H23" s="5">
        <v>668.25</v>
      </c>
    </row>
    <row r="24" spans="2:8" ht="15.75" hidden="1" outlineLevel="1" thickBot="1" x14ac:dyDescent="0.3">
      <c r="B24" s="2" t="s">
        <v>55</v>
      </c>
      <c r="C24" s="2" t="s">
        <v>12</v>
      </c>
      <c r="D24" s="2">
        <v>229.33333333333331</v>
      </c>
      <c r="E24" s="2">
        <v>0</v>
      </c>
      <c r="F24" s="2">
        <v>355</v>
      </c>
      <c r="G24" s="2">
        <v>1E+30</v>
      </c>
      <c r="H24" s="2">
        <v>125.66666666666669</v>
      </c>
    </row>
    <row r="25" spans="2:8" collapsed="1" x14ac:dyDescent="0.25"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8552-4C87-4E5C-B527-36783A73DBD8}">
  <dimension ref="A1:J16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9" bestFit="1" customWidth="1"/>
    <col min="3" max="3" width="7.42578125" bestFit="1" customWidth="1"/>
    <col min="4" max="4" width="9.5703125" bestFit="1" customWidth="1"/>
    <col min="5" max="5" width="2.28515625" customWidth="1"/>
    <col min="6" max="6" width="7.85546875" bestFit="1" customWidth="1"/>
    <col min="7" max="7" width="16.140625" bestFit="1" customWidth="1"/>
    <col min="8" max="8" width="2.28515625" customWidth="1"/>
    <col min="9" max="9" width="8.28515625" bestFit="1" customWidth="1"/>
    <col min="10" max="10" width="16.140625" bestFit="1" customWidth="1"/>
  </cols>
  <sheetData>
    <row r="1" spans="1:10" x14ac:dyDescent="0.25">
      <c r="A1" s="1" t="s">
        <v>63</v>
      </c>
    </row>
    <row r="2" spans="1:10" x14ac:dyDescent="0.25">
      <c r="A2" s="1" t="s">
        <v>17</v>
      </c>
    </row>
    <row r="3" spans="1:10" x14ac:dyDescent="0.25">
      <c r="A3" s="1" t="s">
        <v>85</v>
      </c>
    </row>
    <row r="5" spans="1:10" ht="15.75" thickBot="1" x14ac:dyDescent="0.3"/>
    <row r="6" spans="1:10" x14ac:dyDescent="0.25">
      <c r="B6" s="11"/>
      <c r="C6" s="11" t="s">
        <v>64</v>
      </c>
      <c r="D6" s="11"/>
    </row>
    <row r="7" spans="1:10" ht="15.75" thickBot="1" x14ac:dyDescent="0.3">
      <c r="B7" s="12" t="s">
        <v>24</v>
      </c>
      <c r="C7" s="12" t="s">
        <v>6</v>
      </c>
      <c r="D7" s="12" t="s">
        <v>61</v>
      </c>
    </row>
    <row r="8" spans="1:10" ht="15.75" thickBot="1" x14ac:dyDescent="0.3">
      <c r="B8" s="2" t="s">
        <v>34</v>
      </c>
      <c r="C8" s="2" t="s">
        <v>35</v>
      </c>
      <c r="D8" s="6">
        <v>10392.25</v>
      </c>
    </row>
    <row r="10" spans="1:10" ht="15.75" thickBot="1" x14ac:dyDescent="0.3"/>
    <row r="11" spans="1:10" x14ac:dyDescent="0.25">
      <c r="B11" s="11"/>
      <c r="C11" s="11" t="s">
        <v>65</v>
      </c>
      <c r="D11" s="11"/>
      <c r="F11" s="11" t="s">
        <v>66</v>
      </c>
      <c r="G11" s="11" t="s">
        <v>64</v>
      </c>
      <c r="I11" s="11" t="s">
        <v>69</v>
      </c>
      <c r="J11" s="11" t="s">
        <v>64</v>
      </c>
    </row>
    <row r="12" spans="1:10" ht="15.75" thickBot="1" x14ac:dyDescent="0.3">
      <c r="B12" s="12" t="s">
        <v>24</v>
      </c>
      <c r="C12" s="12" t="s">
        <v>6</v>
      </c>
      <c r="D12" s="12" t="s">
        <v>61</v>
      </c>
      <c r="F12" s="12" t="s">
        <v>67</v>
      </c>
      <c r="G12" s="12" t="s">
        <v>68</v>
      </c>
      <c r="I12" s="12" t="s">
        <v>67</v>
      </c>
      <c r="J12" s="12" t="s">
        <v>68</v>
      </c>
    </row>
    <row r="13" spans="1:10" x14ac:dyDescent="0.25">
      <c r="B13" s="5" t="s">
        <v>36</v>
      </c>
      <c r="C13" s="5" t="s">
        <v>37</v>
      </c>
      <c r="D13" s="7">
        <v>0</v>
      </c>
      <c r="F13" s="7">
        <v>0</v>
      </c>
      <c r="G13" s="7">
        <v>10392.25</v>
      </c>
      <c r="I13" s="7">
        <v>0</v>
      </c>
      <c r="J13" s="7">
        <v>10392.25</v>
      </c>
    </row>
    <row r="14" spans="1:10" x14ac:dyDescent="0.25">
      <c r="B14" s="5" t="s">
        <v>39</v>
      </c>
      <c r="C14" s="5" t="s">
        <v>40</v>
      </c>
      <c r="D14" s="7">
        <v>0</v>
      </c>
      <c r="F14" s="7">
        <v>0</v>
      </c>
      <c r="G14" s="7">
        <v>10392.25</v>
      </c>
      <c r="I14" s="7">
        <v>0</v>
      </c>
      <c r="J14" s="7">
        <v>10392.25</v>
      </c>
    </row>
    <row r="15" spans="1:10" x14ac:dyDescent="0.25">
      <c r="B15" s="5" t="s">
        <v>41</v>
      </c>
      <c r="C15" s="5" t="s">
        <v>42</v>
      </c>
      <c r="D15" s="7">
        <v>183.25</v>
      </c>
      <c r="F15" s="7">
        <v>0</v>
      </c>
      <c r="G15" s="7">
        <v>3611.9999999999995</v>
      </c>
      <c r="I15" s="7">
        <v>183.25</v>
      </c>
      <c r="J15" s="7">
        <v>10392.25</v>
      </c>
    </row>
    <row r="16" spans="1:10" ht="15.75" thickBot="1" x14ac:dyDescent="0.3">
      <c r="B16" s="2" t="s">
        <v>43</v>
      </c>
      <c r="C16" s="2" t="s">
        <v>44</v>
      </c>
      <c r="D16" s="6">
        <v>57.333333333333329</v>
      </c>
      <c r="F16" s="6">
        <v>0</v>
      </c>
      <c r="G16" s="6">
        <v>6780.25</v>
      </c>
      <c r="I16" s="6">
        <v>57.333333333333329</v>
      </c>
      <c r="J16" s="6">
        <v>10392.25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592-6595-4BB4-9913-86EE6E7459A2}">
  <dimension ref="A1:H20"/>
  <sheetViews>
    <sheetView tabSelected="1" workbookViewId="0">
      <selection activeCell="I8" sqref="I8"/>
    </sheetView>
  </sheetViews>
  <sheetFormatPr defaultRowHeight="15" outlineLevelRow="2" x14ac:dyDescent="0.25"/>
  <cols>
    <col min="1" max="1" width="22.5703125" customWidth="1"/>
    <col min="2" max="2" width="9" bestFit="1" customWidth="1"/>
    <col min="3" max="3" width="4.140625" bestFit="1" customWidth="1"/>
    <col min="4" max="4" width="7.85546875" bestFit="1" customWidth="1"/>
    <col min="6" max="6" width="6" bestFit="1" customWidth="1"/>
    <col min="7" max="7" width="12" bestFit="1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 x14ac:dyDescent="0.25">
      <c r="A2" t="s">
        <v>13</v>
      </c>
      <c r="B2">
        <v>0</v>
      </c>
      <c r="C2">
        <v>0</v>
      </c>
      <c r="D2">
        <v>183.25</v>
      </c>
      <c r="E2">
        <v>57.333333333333329</v>
      </c>
    </row>
    <row r="3" spans="1:8" x14ac:dyDescent="0.25">
      <c r="A3" t="s">
        <v>14</v>
      </c>
      <c r="B3">
        <v>20</v>
      </c>
      <c r="C3">
        <v>29</v>
      </c>
      <c r="D3">
        <v>37</v>
      </c>
      <c r="E3">
        <v>63</v>
      </c>
    </row>
    <row r="4" spans="1:8" x14ac:dyDescent="0.25">
      <c r="A4" t="s">
        <v>15</v>
      </c>
      <c r="B4">
        <f>B2*B3+C2*C3+D2*D3+E2*E3</f>
        <v>10392.25</v>
      </c>
    </row>
    <row r="5" spans="1:8" x14ac:dyDescent="0.25">
      <c r="A5" t="s">
        <v>6</v>
      </c>
      <c r="F5" t="s">
        <v>7</v>
      </c>
    </row>
    <row r="6" spans="1:8" x14ac:dyDescent="0.25">
      <c r="A6" t="s">
        <v>8</v>
      </c>
      <c r="B6">
        <v>4</v>
      </c>
      <c r="C6">
        <v>0</v>
      </c>
      <c r="D6">
        <v>4</v>
      </c>
      <c r="E6">
        <v>3</v>
      </c>
      <c r="F6">
        <v>905</v>
      </c>
      <c r="G6">
        <f>B$2*B6 + C$2*C6 + D$2*D6 + E$2*E6</f>
        <v>905</v>
      </c>
      <c r="H6">
        <f>F6-G6</f>
        <v>0</v>
      </c>
    </row>
    <row r="7" spans="1:8" x14ac:dyDescent="0.25">
      <c r="A7" t="s">
        <v>9</v>
      </c>
      <c r="B7">
        <v>0</v>
      </c>
      <c r="C7">
        <v>6</v>
      </c>
      <c r="D7">
        <v>0</v>
      </c>
      <c r="E7">
        <v>6</v>
      </c>
      <c r="F7">
        <v>344</v>
      </c>
      <c r="G7">
        <f t="shared" ref="G7:G10" si="0">B$2*B7 + C$2*C7 + D$2*D7 + E$2*E7</f>
        <v>344</v>
      </c>
      <c r="H7">
        <f t="shared" ref="H7:H10" si="1">F7-G7</f>
        <v>0</v>
      </c>
    </row>
    <row r="8" spans="1:8" x14ac:dyDescent="0.25">
      <c r="A8" t="s">
        <v>10</v>
      </c>
      <c r="B8">
        <v>5</v>
      </c>
      <c r="C8">
        <v>5</v>
      </c>
      <c r="D8">
        <v>3</v>
      </c>
      <c r="E8">
        <v>5</v>
      </c>
      <c r="F8">
        <v>866</v>
      </c>
      <c r="G8">
        <f t="shared" si="0"/>
        <v>836.41666666666663</v>
      </c>
      <c r="H8">
        <f t="shared" si="1"/>
        <v>29.583333333333371</v>
      </c>
    </row>
    <row r="9" spans="1:8" x14ac:dyDescent="0.25">
      <c r="A9" t="s">
        <v>11</v>
      </c>
      <c r="B9">
        <v>6</v>
      </c>
      <c r="C9">
        <v>2</v>
      </c>
      <c r="D9">
        <v>3</v>
      </c>
      <c r="E9">
        <v>3</v>
      </c>
      <c r="F9">
        <v>1390</v>
      </c>
      <c r="G9">
        <f t="shared" si="0"/>
        <v>721.75</v>
      </c>
      <c r="H9">
        <f t="shared" si="1"/>
        <v>668.25</v>
      </c>
    </row>
    <row r="10" spans="1:8" x14ac:dyDescent="0.25">
      <c r="A10" t="s">
        <v>12</v>
      </c>
      <c r="B10">
        <v>3</v>
      </c>
      <c r="C10">
        <v>0</v>
      </c>
      <c r="D10">
        <v>0</v>
      </c>
      <c r="E10">
        <v>4</v>
      </c>
      <c r="F10">
        <v>355</v>
      </c>
      <c r="G10">
        <f t="shared" si="0"/>
        <v>229.33333333333331</v>
      </c>
      <c r="H10">
        <f t="shared" si="1"/>
        <v>125.66666666666669</v>
      </c>
    </row>
    <row r="13" spans="1:8" x14ac:dyDescent="0.25">
      <c r="B13" s="13" t="s">
        <v>57</v>
      </c>
    </row>
    <row r="14" spans="1:8" hidden="1" outlineLevel="1" x14ac:dyDescent="0.25">
      <c r="B14" s="13"/>
    </row>
    <row r="15" spans="1:8" hidden="1" outlineLevel="2" x14ac:dyDescent="0.25"/>
    <row r="16" spans="1:8" hidden="1" outlineLevel="2" x14ac:dyDescent="0.25"/>
    <row r="17" hidden="1" outlineLevel="2" x14ac:dyDescent="0.25"/>
    <row r="18" hidden="1" outlineLevel="1" collapsed="1" x14ac:dyDescent="0.25"/>
    <row r="19" hidden="1" outlineLevel="1" x14ac:dyDescent="0.25"/>
    <row r="20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Звіт про результати 1</vt:lpstr>
      <vt:lpstr>Звіт про результати 2</vt:lpstr>
      <vt:lpstr>Звіт про стійкість 1</vt:lpstr>
      <vt:lpstr>Звіт про ліміти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Kornilov</dc:creator>
  <cp:lastModifiedBy>Artem Kornilov</cp:lastModifiedBy>
  <dcterms:created xsi:type="dcterms:W3CDTF">2026-10-01T16:59:54Z</dcterms:created>
  <dcterms:modified xsi:type="dcterms:W3CDTF">2026-10-01T22:09:38Z</dcterms:modified>
</cp:coreProperties>
</file>